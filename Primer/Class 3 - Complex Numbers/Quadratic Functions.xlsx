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Work\Teaching 2024\Deep Quant Finance\Live\Class 3 - Complex Numbers\"/>
    </mc:Choice>
  </mc:AlternateContent>
  <xr:revisionPtr revIDLastSave="0" documentId="13_ncr:1_{9CEC73DA-4B13-4AB8-AB22-99F522A289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nctions" sheetId="1" r:id="rId1"/>
    <sheet name="Quadratic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Q12" i="2"/>
  <c r="P15" i="2"/>
  <c r="Q11" i="2"/>
  <c r="Q10" i="2"/>
  <c r="Q3" i="2"/>
  <c r="Q6" i="2" s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2" i="2"/>
  <c r="Q5" i="2" l="1"/>
</calcChain>
</file>

<file path=xl/sharedStrings.xml><?xml version="1.0" encoding="utf-8"?>
<sst xmlns="http://schemas.openxmlformats.org/spreadsheetml/2006/main" count="13" uniqueCount="12">
  <si>
    <t>Functions and Roots</t>
  </si>
  <si>
    <t>a =</t>
  </si>
  <si>
    <t>b =</t>
  </si>
  <si>
    <t>c =</t>
  </si>
  <si>
    <t>x</t>
  </si>
  <si>
    <t>f(x)</t>
  </si>
  <si>
    <t>Quadratic</t>
  </si>
  <si>
    <t xml:space="preserve">D = </t>
  </si>
  <si>
    <t xml:space="preserve">roots </t>
  </si>
  <si>
    <t>z1</t>
  </si>
  <si>
    <t>z2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</si>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</sst>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MU Sans Serif"/>
    </font>
    <font>
      <sz val="26"/>
      <color theme="1"/>
      <name val="CMU Sans Serif"/>
    </font>
    <font>
      <b/>
      <sz val="11"/>
      <color theme="1"/>
      <name val="CMU Sans Serif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'Quadratic function'!$B$12:$B$52</c:f>
              <c:numCache>
                <c:formatCode>General</c:formatCode>
                <c:ptCount val="4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'Quadratic function'!$C$12:$C$52</c:f>
              <c:numCache>
                <c:formatCode>General</c:formatCode>
                <c:ptCount val="41"/>
                <c:pt idx="0">
                  <c:v>36</c:v>
                </c:pt>
                <c:pt idx="1">
                  <c:v>30.25</c:v>
                </c:pt>
                <c:pt idx="2">
                  <c:v>25</c:v>
                </c:pt>
                <c:pt idx="3">
                  <c:v>20.25</c:v>
                </c:pt>
                <c:pt idx="4">
                  <c:v>16</c:v>
                </c:pt>
                <c:pt idx="5">
                  <c:v>12.25</c:v>
                </c:pt>
                <c:pt idx="6">
                  <c:v>9</c:v>
                </c:pt>
                <c:pt idx="7">
                  <c:v>6.25</c:v>
                </c:pt>
                <c:pt idx="8">
                  <c:v>4</c:v>
                </c:pt>
                <c:pt idx="9">
                  <c:v>2.25</c:v>
                </c:pt>
                <c:pt idx="10">
                  <c:v>1</c:v>
                </c:pt>
                <c:pt idx="11">
                  <c:v>0.25</c:v>
                </c:pt>
                <c:pt idx="12">
                  <c:v>0</c:v>
                </c:pt>
                <c:pt idx="13">
                  <c:v>0.25</c:v>
                </c:pt>
                <c:pt idx="14">
                  <c:v>1</c:v>
                </c:pt>
                <c:pt idx="15">
                  <c:v>2.25</c:v>
                </c:pt>
                <c:pt idx="16">
                  <c:v>4</c:v>
                </c:pt>
                <c:pt idx="17">
                  <c:v>6.25</c:v>
                </c:pt>
                <c:pt idx="18">
                  <c:v>9</c:v>
                </c:pt>
                <c:pt idx="19">
                  <c:v>12.25</c:v>
                </c:pt>
                <c:pt idx="20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8F-48C1-B4BE-AFFC71E87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364048"/>
        <c:axId val="1412358768"/>
      </c:scatterChart>
      <c:valAx>
        <c:axId val="141236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58768"/>
        <c:crosses val="autoZero"/>
        <c:crossBetween val="midCat"/>
        <c:majorUnit val="2"/>
      </c:valAx>
      <c:valAx>
        <c:axId val="14123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6404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</xdr:row>
      <xdr:rowOff>14287</xdr:rowOff>
    </xdr:from>
    <xdr:ext cx="1394036" cy="1913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87BD824-7C58-776B-B862-E5CB03EFDD02}"/>
                </a:ext>
              </a:extLst>
            </xdr:cNvPr>
            <xdr:cNvSpPr txBox="1"/>
          </xdr:nvSpPr>
          <xdr:spPr>
            <a:xfrm>
              <a:off x="1409700" y="414337"/>
              <a:ext cx="1394036" cy="1913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𝑏𝑥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87BD824-7C58-776B-B862-E5CB03EFDD02}"/>
                </a:ext>
              </a:extLst>
            </xdr:cNvPr>
            <xdr:cNvSpPr txBox="1"/>
          </xdr:nvSpPr>
          <xdr:spPr>
            <a:xfrm>
              <a:off x="1409700" y="414337"/>
              <a:ext cx="1394036" cy="1913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𝑓(𝑥)=𝑎𝑥^2+𝑏𝑥+c</a:t>
              </a:r>
              <a:endParaRPr lang="en-US" sz="1200"/>
            </a:p>
          </xdr:txBody>
        </xdr:sp>
      </mc:Fallback>
    </mc:AlternateContent>
    <xdr:clientData/>
  </xdr:oneCellAnchor>
  <xdr:twoCellAnchor>
    <xdr:from>
      <xdr:col>5</xdr:col>
      <xdr:colOff>95250</xdr:colOff>
      <xdr:row>5</xdr:row>
      <xdr:rowOff>52387</xdr:rowOff>
    </xdr:from>
    <xdr:to>
      <xdr:col>12</xdr:col>
      <xdr:colOff>400050</xdr:colOff>
      <xdr:row>28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41840-18D6-9563-2B10-129DCD224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428625</xdr:colOff>
      <xdr:row>11</xdr:row>
      <xdr:rowOff>57150</xdr:rowOff>
    </xdr:from>
    <xdr:to>
      <xdr:col>4</xdr:col>
      <xdr:colOff>428625</xdr:colOff>
      <xdr:row>15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1FEE27D-AE70-A3F8-0D8D-EA124E9C88E6}"/>
            </a:ext>
          </a:extLst>
        </xdr:cNvPr>
        <xdr:cNvCxnSpPr/>
      </xdr:nvCxnSpPr>
      <xdr:spPr>
        <a:xfrm flipV="1">
          <a:off x="3019425" y="22955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14:V14"/>
  <sheetViews>
    <sheetView showGridLines="0" zoomScale="80" zoomScaleNormal="80" workbookViewId="0">
      <selection activeCell="E13" sqref="E13"/>
    </sheetView>
  </sheetViews>
  <sheetFormatPr defaultRowHeight="15.6" x14ac:dyDescent="0.4"/>
  <cols>
    <col min="1" max="16384" width="8.88671875" style="1"/>
  </cols>
  <sheetData>
    <row r="14" spans="14:22" ht="36" x14ac:dyDescent="0.85">
      <c r="N14" s="2" t="s">
        <v>0</v>
      </c>
      <c r="O14" s="3"/>
      <c r="P14" s="3"/>
      <c r="Q14" s="3"/>
      <c r="R14" s="3"/>
      <c r="S14" s="3"/>
      <c r="T14" s="3"/>
      <c r="U14" s="3"/>
      <c r="V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A7E6-ACC2-4545-B94B-BC79EF372429}">
  <dimension ref="B3:R32"/>
  <sheetViews>
    <sheetView showGridLines="0" tabSelected="1" zoomScale="80" zoomScaleNormal="80" workbookViewId="0">
      <selection activeCell="U10" sqref="U10"/>
    </sheetView>
  </sheetViews>
  <sheetFormatPr defaultRowHeight="15.6" x14ac:dyDescent="0.4"/>
  <cols>
    <col min="1" max="1" width="8.88671875" style="1"/>
    <col min="2" max="2" width="11.109375" style="1" customWidth="1"/>
    <col min="3" max="15" width="8.88671875" style="1"/>
    <col min="16" max="16" width="12.21875" style="1" customWidth="1"/>
    <col min="17" max="17" width="9.88671875" style="1" bestFit="1" customWidth="1"/>
    <col min="18" max="16384" width="8.88671875" style="1"/>
  </cols>
  <sheetData>
    <row r="3" spans="2:18" ht="16.2" x14ac:dyDescent="0.45">
      <c r="B3" s="4" t="s">
        <v>6</v>
      </c>
      <c r="P3" s="7" t="s">
        <v>7</v>
      </c>
      <c r="Q3" s="10">
        <f>C7^2-4*C6*C8</f>
        <v>0</v>
      </c>
    </row>
    <row r="5" spans="2:18" ht="16.2" x14ac:dyDescent="0.45">
      <c r="P5" s="11" t="s">
        <v>8</v>
      </c>
      <c r="Q5" s="10">
        <f>IF(C6&lt;&gt;0,(-C7+SQRT(Q3))/(2*C6),-C8/C7)</f>
        <v>1</v>
      </c>
      <c r="R5" s="7"/>
    </row>
    <row r="6" spans="2:18" ht="16.2" x14ac:dyDescent="0.45">
      <c r="B6" s="1" t="s">
        <v>1</v>
      </c>
      <c r="C6" s="5">
        <v>1</v>
      </c>
      <c r="P6" s="11"/>
      <c r="Q6" s="10">
        <f>IF(C6&lt;&gt;0,(-C7-SQRT(Q3))/(2*C6),"")</f>
        <v>1</v>
      </c>
    </row>
    <row r="7" spans="2:18" x14ac:dyDescent="0.4">
      <c r="B7" s="1" t="s">
        <v>2</v>
      </c>
      <c r="C7" s="6">
        <v>-2</v>
      </c>
    </row>
    <row r="8" spans="2:18" x14ac:dyDescent="0.4">
      <c r="B8" s="1" t="s">
        <v>3</v>
      </c>
      <c r="C8" s="5">
        <v>1</v>
      </c>
    </row>
    <row r="10" spans="2:18" x14ac:dyDescent="0.4">
      <c r="P10" s="1" t="s">
        <v>9</v>
      </c>
      <c r="Q10" s="1" t="str">
        <f>COMPLEX(3,5)</f>
        <v>3+5i</v>
      </c>
    </row>
    <row r="11" spans="2:18" ht="16.2" x14ac:dyDescent="0.45">
      <c r="B11" s="8" t="s">
        <v>4</v>
      </c>
      <c r="C11" s="8" t="s">
        <v>5</v>
      </c>
      <c r="P11" s="1" t="s">
        <v>10</v>
      </c>
      <c r="Q11" s="1" t="str">
        <f>COMPLEX(2,6)</f>
        <v>2+6i</v>
      </c>
    </row>
    <row r="12" spans="2:18" x14ac:dyDescent="0.4">
      <c r="B12" s="9">
        <v>-5</v>
      </c>
      <c r="C12" s="9">
        <f>$C$6*B12^2+$C$7*B12+$C$8</f>
        <v>36</v>
      </c>
      <c r="P12" s="1" t="s">
        <v>11</v>
      </c>
      <c r="Q12" s="1" t="str">
        <f>COMPLEX(2,-1)</f>
        <v>2-i</v>
      </c>
    </row>
    <row r="13" spans="2:18" x14ac:dyDescent="0.4">
      <c r="B13" s="9">
        <v>-4.5</v>
      </c>
      <c r="C13" s="9">
        <f t="shared" ref="C13:C32" si="0">$C$6*B13^2+$C$7*B13+$C$8</f>
        <v>30.25</v>
      </c>
    </row>
    <row r="14" spans="2:18" x14ac:dyDescent="0.4">
      <c r="B14" s="9">
        <v>-4</v>
      </c>
      <c r="C14" s="9">
        <f t="shared" si="0"/>
        <v>25</v>
      </c>
      <c r="E14" s="1" t="s">
        <v>5</v>
      </c>
    </row>
    <row r="15" spans="2:18" x14ac:dyDescent="0.4">
      <c r="B15" s="9">
        <v>-3.5</v>
      </c>
      <c r="C15" s="9">
        <f t="shared" si="0"/>
        <v>20.25</v>
      </c>
      <c r="P15" s="1" t="str">
        <f>IMPRODUCT(Q10,Q11)</f>
        <v>-24+28i</v>
      </c>
    </row>
    <row r="16" spans="2:18" x14ac:dyDescent="0.4">
      <c r="B16" s="9">
        <v>-3</v>
      </c>
      <c r="C16" s="9">
        <f t="shared" si="0"/>
        <v>16</v>
      </c>
    </row>
    <row r="17" spans="2:16" x14ac:dyDescent="0.4">
      <c r="B17" s="9">
        <v>-2.5</v>
      </c>
      <c r="C17" s="9">
        <f t="shared" si="0"/>
        <v>12.25</v>
      </c>
      <c r="P17" s="1" t="str">
        <f>IMDIV(1,Q12)</f>
        <v>0.4+0.2i</v>
      </c>
    </row>
    <row r="18" spans="2:16" x14ac:dyDescent="0.4">
      <c r="B18" s="9">
        <v>-2</v>
      </c>
      <c r="C18" s="9">
        <f t="shared" si="0"/>
        <v>9</v>
      </c>
    </row>
    <row r="19" spans="2:16" x14ac:dyDescent="0.4">
      <c r="B19" s="9">
        <v>-1.5</v>
      </c>
      <c r="C19" s="9">
        <f t="shared" si="0"/>
        <v>6.25</v>
      </c>
    </row>
    <row r="20" spans="2:16" x14ac:dyDescent="0.4">
      <c r="B20" s="9">
        <v>-1</v>
      </c>
      <c r="C20" s="9">
        <f t="shared" si="0"/>
        <v>4</v>
      </c>
    </row>
    <row r="21" spans="2:16" x14ac:dyDescent="0.4">
      <c r="B21" s="9">
        <v>-0.5</v>
      </c>
      <c r="C21" s="9">
        <f t="shared" si="0"/>
        <v>2.25</v>
      </c>
    </row>
    <row r="22" spans="2:16" x14ac:dyDescent="0.4">
      <c r="B22" s="9">
        <v>0</v>
      </c>
      <c r="C22" s="9">
        <f t="shared" si="0"/>
        <v>1</v>
      </c>
    </row>
    <row r="23" spans="2:16" x14ac:dyDescent="0.4">
      <c r="B23" s="9">
        <v>0.5</v>
      </c>
      <c r="C23" s="9">
        <f t="shared" si="0"/>
        <v>0.25</v>
      </c>
    </row>
    <row r="24" spans="2:16" x14ac:dyDescent="0.4">
      <c r="B24" s="9">
        <v>1</v>
      </c>
      <c r="C24" s="9">
        <f t="shared" si="0"/>
        <v>0</v>
      </c>
    </row>
    <row r="25" spans="2:16" x14ac:dyDescent="0.4">
      <c r="B25" s="9">
        <v>1.5</v>
      </c>
      <c r="C25" s="9">
        <f t="shared" si="0"/>
        <v>0.25</v>
      </c>
    </row>
    <row r="26" spans="2:16" x14ac:dyDescent="0.4">
      <c r="B26" s="9">
        <v>2</v>
      </c>
      <c r="C26" s="9">
        <f t="shared" si="0"/>
        <v>1</v>
      </c>
    </row>
    <row r="27" spans="2:16" x14ac:dyDescent="0.4">
      <c r="B27" s="9">
        <v>2.5</v>
      </c>
      <c r="C27" s="9">
        <f t="shared" si="0"/>
        <v>2.25</v>
      </c>
    </row>
    <row r="28" spans="2:16" x14ac:dyDescent="0.4">
      <c r="B28" s="9">
        <v>3</v>
      </c>
      <c r="C28" s="9">
        <f t="shared" si="0"/>
        <v>4</v>
      </c>
    </row>
    <row r="29" spans="2:16" x14ac:dyDescent="0.4">
      <c r="B29" s="9">
        <v>3.5</v>
      </c>
      <c r="C29" s="9">
        <f t="shared" si="0"/>
        <v>6.25</v>
      </c>
    </row>
    <row r="30" spans="2:16" x14ac:dyDescent="0.4">
      <c r="B30" s="9">
        <v>4</v>
      </c>
      <c r="C30" s="9">
        <f t="shared" si="0"/>
        <v>9</v>
      </c>
    </row>
    <row r="31" spans="2:16" x14ac:dyDescent="0.4">
      <c r="B31" s="9">
        <v>4.5</v>
      </c>
      <c r="C31" s="9">
        <f t="shared" si="0"/>
        <v>12.25</v>
      </c>
    </row>
    <row r="32" spans="2:16" x14ac:dyDescent="0.4">
      <c r="B32" s="9">
        <v>5</v>
      </c>
      <c r="C32" s="9">
        <f t="shared" si="0"/>
        <v>16</v>
      </c>
    </row>
  </sheetData>
  <mergeCells count="1">
    <mergeCell ref="P5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</vt:lpstr>
      <vt:lpstr>Quadratic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Satyapriya Ojha</dc:creator>
  <cp:lastModifiedBy>Satyapriya Ojha</cp:lastModifiedBy>
  <dcterms:created xsi:type="dcterms:W3CDTF">2015-06-05T18:17:20Z</dcterms:created>
  <dcterms:modified xsi:type="dcterms:W3CDTF">2024-06-02T14:40:44Z</dcterms:modified>
</cp:coreProperties>
</file>